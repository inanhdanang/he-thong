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hat Ky Lenh" sheetId="1" state="visible" r:id="rId3"/>
    <sheet name="Dashboard" sheetId="2" state="visible" r:id="rId4"/>
    <sheet name="Huong D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<sst xmlns="http://schemas.openxmlformats.org/spreadsheetml/2006/main" count="56" uniqueCount="56">
  <si>
    <t xml:space="preserve">STT</t>
  </si>
  <si>
    <t xml:space="preserve">Ngay</t>
  </si>
  <si>
    <t xml:space="preserve">Gio vao lenh</t>
  </si>
  <si>
    <t xml:space="preserve">Cap tien / San pham</t>
  </si>
  <si>
    <t xml:space="preserve">San/Broker</t>
  </si>
  <si>
    <t xml:space="preserve">Khung TG chinh (M1/M3/M5/M15)</t>
  </si>
  <si>
    <t xml:space="preserve">Huong lenh (BUY/SELL)</t>
  </si>
  <si>
    <t xml:space="preserve">Gia vao</t>
  </si>
  <si>
    <t xml:space="preserve">Gia SL</t>
  </si>
  <si>
    <t xml:space="preserve">Gia TP</t>
  </si>
  <si>
    <t xml:space="preserve">Khoi luong (Lot)</t>
  </si>
  <si>
    <t xml:space="preserve">Von TK ($)</t>
  </si>
  <si>
    <t xml:space="preserve">% Rui ro</t>
  </si>
  <si>
    <t xml:space="preserve">So tien rui ro ($)</t>
  </si>
  <si>
    <t xml:space="preserve">So tieu chi BAT BUOC dat (x/5)</t>
  </si>
  <si>
    <t xml:space="preserve">So tieu chi CONG DIEM dat</t>
  </si>
  <si>
    <t xml:space="preserve">Ly do vao lenh</t>
  </si>
  <si>
    <t xml:space="preserve">Gia dong lenh</t>
  </si>
  <si>
    <t xml:space="preserve">Gio dong lenh</t>
  </si>
  <si>
    <t xml:space="preserve">Ket qua (Win/Loss/BE)</t>
  </si>
  <si>
    <t xml:space="preserve">R:R thuc te</t>
  </si>
  <si>
    <t xml:space="preserve">Lai/Lo (Pip)</t>
  </si>
  <si>
    <t xml:space="preserve">Lai/Lo ($)</t>
  </si>
  <si>
    <t xml:space="preserve">Ly do thoat lenh</t>
  </si>
  <si>
    <t xml:space="preserve">Bai hoc rut ra</t>
  </si>
  <si>
    <t xml:space="preserve">DASHBOARD THONG KE GIAO DICH</t>
  </si>
  <si>
    <t xml:space="preserve">Tu dong cap nhat theo du lieu nhap tai sheet 'Nhat Ky Lenh'</t>
  </si>
  <si>
    <t xml:space="preserve">CHI SO</t>
  </si>
  <si>
    <t xml:space="preserve">GIA TRI</t>
  </si>
  <si>
    <t xml:space="preserve">Tong so lenh da nhap</t>
  </si>
  <si>
    <t xml:space="preserve">So lenh Win</t>
  </si>
  <si>
    <t xml:space="preserve">So lenh Loss</t>
  </si>
  <si>
    <t xml:space="preserve">So lenh Hoa von (BE)</t>
  </si>
  <si>
    <t xml:space="preserve">Ty le thang (Win Rate %)</t>
  </si>
  <si>
    <t xml:space="preserve">R:R trung binh</t>
  </si>
  <si>
    <t xml:space="preserve">Tong Lai/Lo ($)</t>
  </si>
  <si>
    <t xml:space="preserve">Lai/Lo trung binh moi lenh ($)</t>
  </si>
  <si>
    <t xml:space="preserve">So tieu chi bat buoc TB khi Win</t>
  </si>
  <si>
    <t xml:space="preserve">So tieu chi bat buoc TB khi Loss</t>
  </si>
  <si>
    <t xml:space="preserve">Ghi chu: sau khi du &gt;= 100 lenh, so sanh 'So tieu chi TB khi Win' va 'khi Loss'</t>
  </si>
  <si>
    <t xml:space="preserve">de kiem tra bo tieu chi bat buoc co thuc su phan biet duoc lenh thang/thua hay khong.</t>
  </si>
  <si>
    <t xml:space="preserve">HUONG DAN SU DUNG FILE NHAT KY GIAO DICH</t>
  </si>
  <si>
    <t xml:space="preserve">1. Sheet 'Nhat Ky Lenh': ghi lai MOI lenh giao dich ngay sau khi dong lenh, khong bo sot.</t>
  </si>
  <si>
    <t xml:space="preserve">   - Cot 'So tieu chi BAT BUOC dat (x/5)': doi chieu voi Muc 5.1 trong file</t>
  </si>
  <si>
    <t xml:space="preserve">     docs/01-he-thong-tieu-chi-giao-dich.md. Neu khong du 5/5 thi khong nen co lenh nay.</t>
  </si>
  <si>
    <t xml:space="preserve">   - Cot R:R thuc te va So tien rui ro tu dong tinh theo cong thuc, khong sua tay.</t>
  </si>
  <si>
    <t xml:space="preserve">2. Sheet 'Dashboard': tu dong thong ke Win Rate, R:R trung binh, tong lai/lo.</t>
  </si>
  <si>
    <t xml:space="preserve">   Theo doi dinh ky (moi 20-30 lenh) de danh gia he thong co hieu qua khong.</t>
  </si>
  <si>
    <t xml:space="preserve">3. Sau khi du khoang 100 lenh (dung tinh than tai lieu goc): xem lai cot</t>
  </si>
  <si>
    <t xml:space="preserve">   'So tieu chi bat buoc TB khi Win' va 'khi Loss' o Dashboard.</t>
  </si>
  <si>
    <t xml:space="preserve">   Neu hai con so nay gan bang nhau -&gt; bo tieu chi hien tai chua thuc su</t>
  </si>
  <si>
    <t xml:space="preserve">   phan biet duoc lenh tot/xau, can dieu chinh lai.</t>
  </si>
  <si>
    <t xml:space="preserve">4. San giao dich: file nay mac dinh cho tai khoan Exness, co the dung cho</t>
  </si>
  <si>
    <t xml:space="preserve">   moi san Forex khac, chi can doi ten san o cot 'San/Broker'.</t>
  </si>
  <si>
    <t xml:space="preserve">5. Luu y: day la cong cu ho tro ghi chep va thong ke, khong phai loi khuyen</t>
  </si>
  <si>
    <t xml:space="preserve">   dau tu. Ban tu chiu trach nhiem voi cac quyet dinh giao dich cua minh.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</si>
</sst>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1F2937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name val="Calibri"/>
      <family val="0"/>
      <charset val="1"/>
    </font>
    <font>
      <sz val="10.5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11" min="8" style="0" width="10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26"/>
    <col collapsed="false" customWidth="true" hidden="false" outlineLevel="0" max="19" min="18" style="0" width="10"/>
    <col collapsed="false" customWidth="true" hidden="false" outlineLevel="0" max="20" min="20" style="0" width="13"/>
    <col collapsed="false" customWidth="true" hidden="false" outlineLevel="0" max="21" min="21" style="0" width="10"/>
    <col collapsed="false" customWidth="true" hidden="false" outlineLevel="0" max="23" min="22" style="0" width="11"/>
    <col collapsed="false" customWidth="true" hidden="false" outlineLevel="0" max="25" min="24" style="0" width="26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n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tr">
        <f aca="false">IF(OR(L2="",M2=""),"",L2*M2)</f>
        <v/>
      </c>
      <c r="O2" s="3"/>
      <c r="P2" s="3"/>
      <c r="Q2" s="2"/>
      <c r="R2" s="2"/>
      <c r="S2" s="2"/>
      <c r="T2" s="2"/>
      <c r="U2" s="2" t="str">
        <f aca="false">IF(OR(H2="",I2="",J2=""),"",ROUND(ABS(J2-H2)/ABS(H2-I2),2))</f>
        <v/>
      </c>
      <c r="V2" s="2"/>
      <c r="W2" s="2"/>
      <c r="X2" s="2"/>
      <c r="Y2" s="2"/>
    </row>
    <row r="3" customFormat="false" ht="15" hidden="false" customHeight="false" outlineLevel="0" collapsed="false">
      <c r="A3" s="2" t="n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 t="str">
        <f aca="false">IF(OR(L3="",M3=""),"",L3*M3)</f>
        <v/>
      </c>
      <c r="O3" s="3"/>
      <c r="P3" s="3"/>
      <c r="Q3" s="2"/>
      <c r="R3" s="2"/>
      <c r="S3" s="2"/>
      <c r="T3" s="2"/>
      <c r="U3" s="2" t="str">
        <f aca="false">IF(OR(H3="",I3="",J3=""),"",ROUND(ABS(J3-H3)/ABS(H3-I3),2))</f>
        <v/>
      </c>
      <c r="V3" s="2"/>
      <c r="W3" s="2"/>
      <c r="X3" s="2"/>
      <c r="Y3" s="2"/>
    </row>
    <row r="4" customFormat="false" ht="15" hidden="false" customHeight="false" outlineLevel="0" collapsed="false">
      <c r="A4" s="2" t="n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 t="str">
        <f aca="false">IF(OR(L4="",M4=""),"",L4*M4)</f>
        <v/>
      </c>
      <c r="O4" s="3"/>
      <c r="P4" s="3"/>
      <c r="Q4" s="2"/>
      <c r="R4" s="2"/>
      <c r="S4" s="2"/>
      <c r="T4" s="2"/>
      <c r="U4" s="2" t="str">
        <f aca="false">IF(OR(H4="",I4="",J4=""),"",ROUND(ABS(J4-H4)/ABS(H4-I4),2))</f>
        <v/>
      </c>
      <c r="V4" s="2"/>
      <c r="W4" s="2"/>
      <c r="X4" s="2"/>
      <c r="Y4" s="2"/>
    </row>
    <row r="5" customFormat="false" ht="15" hidden="false" customHeight="false" outlineLevel="0" collapsed="false">
      <c r="A5" s="2" t="n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 t="str">
        <f aca="false">IF(OR(L5="",M5=""),"",L5*M5)</f>
        <v/>
      </c>
      <c r="O5" s="3"/>
      <c r="P5" s="3"/>
      <c r="Q5" s="2"/>
      <c r="R5" s="2"/>
      <c r="S5" s="2"/>
      <c r="T5" s="2"/>
      <c r="U5" s="2" t="str">
        <f aca="false">IF(OR(H5="",I5="",J5=""),"",ROUND(ABS(J5-H5)/ABS(H5-I5),2))</f>
        <v/>
      </c>
      <c r="V5" s="2"/>
      <c r="W5" s="2"/>
      <c r="X5" s="2"/>
      <c r="Y5" s="2"/>
    </row>
    <row r="6" customFormat="false" ht="15" hidden="false" customHeight="false" outlineLevel="0" collapsed="false">
      <c r="A6" s="2" t="n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 t="str">
        <f aca="false">IF(OR(L6="",M6=""),"",L6*M6)</f>
        <v/>
      </c>
      <c r="O6" s="3"/>
      <c r="P6" s="3"/>
      <c r="Q6" s="2"/>
      <c r="R6" s="2"/>
      <c r="S6" s="2"/>
      <c r="T6" s="2"/>
      <c r="U6" s="2" t="str">
        <f aca="false">IF(OR(H6="",I6="",J6=""),"",ROUND(ABS(J6-H6)/ABS(H6-I6),2))</f>
        <v/>
      </c>
      <c r="V6" s="2"/>
      <c r="W6" s="2"/>
      <c r="X6" s="2"/>
      <c r="Y6" s="2"/>
    </row>
    <row r="7" customFormat="false" ht="15" hidden="false" customHeight="false" outlineLevel="0" collapsed="false">
      <c r="A7" s="2" t="n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 t="str">
        <f aca="false">IF(OR(L7="",M7=""),"",L7*M7)</f>
        <v/>
      </c>
      <c r="O7" s="3"/>
      <c r="P7" s="3"/>
      <c r="Q7" s="2"/>
      <c r="R7" s="2"/>
      <c r="S7" s="2"/>
      <c r="T7" s="2"/>
      <c r="U7" s="2" t="str">
        <f aca="false">IF(OR(H7="",I7="",J7=""),"",ROUND(ABS(J7-H7)/ABS(H7-I7),2))</f>
        <v/>
      </c>
      <c r="V7" s="2"/>
      <c r="W7" s="2"/>
      <c r="X7" s="2"/>
      <c r="Y7" s="2"/>
    </row>
    <row r="8" customFormat="false" ht="15" hidden="false" customHeight="false" outlineLevel="0" collapsed="false">
      <c r="A8" s="2" t="n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 t="str">
        <f aca="false">IF(OR(L8="",M8=""),"",L8*M8)</f>
        <v/>
      </c>
      <c r="O8" s="3"/>
      <c r="P8" s="3"/>
      <c r="Q8" s="2"/>
      <c r="R8" s="2"/>
      <c r="S8" s="2"/>
      <c r="T8" s="2"/>
      <c r="U8" s="2" t="str">
        <f aca="false">IF(OR(H8="",I8="",J8=""),"",ROUND(ABS(J8-H8)/ABS(H8-I8),2))</f>
        <v/>
      </c>
      <c r="V8" s="2"/>
      <c r="W8" s="2"/>
      <c r="X8" s="2"/>
      <c r="Y8" s="2"/>
    </row>
    <row r="9" customFormat="false" ht="15" hidden="false" customHeight="false" outlineLevel="0" collapsed="false">
      <c r="A9" s="2" t="n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 t="str">
        <f aca="false">IF(OR(L9="",M9=""),"",L9*M9)</f>
        <v/>
      </c>
      <c r="O9" s="3"/>
      <c r="P9" s="3"/>
      <c r="Q9" s="2"/>
      <c r="R9" s="2"/>
      <c r="S9" s="2"/>
      <c r="T9" s="2"/>
      <c r="U9" s="2" t="str">
        <f aca="false">IF(OR(H9="",I9="",J9=""),"",ROUND(ABS(J9-H9)/ABS(H9-I9),2))</f>
        <v/>
      </c>
      <c r="V9" s="2"/>
      <c r="W9" s="2"/>
      <c r="X9" s="2"/>
      <c r="Y9" s="2"/>
    </row>
    <row r="10" customFormat="false" ht="15" hidden="false" customHeight="false" outlineLevel="0" collapsed="false">
      <c r="A10" s="2" t="n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 t="str">
        <f aca="false">IF(OR(L10="",M10=""),"",L10*M10)</f>
        <v/>
      </c>
      <c r="O10" s="3"/>
      <c r="P10" s="3"/>
      <c r="Q10" s="2"/>
      <c r="R10" s="2"/>
      <c r="S10" s="2"/>
      <c r="T10" s="2"/>
      <c r="U10" s="2" t="str">
        <f aca="false">IF(OR(H10="",I10="",J10=""),"",ROUND(ABS(J10-H10)/ABS(H10-I10),2))</f>
        <v/>
      </c>
      <c r="V10" s="2"/>
      <c r="W10" s="2"/>
      <c r="X10" s="2"/>
      <c r="Y10" s="2"/>
    </row>
    <row r="11" customFormat="false" ht="15" hidden="false" customHeight="false" outlineLevel="0" collapsed="false">
      <c r="A11" s="2" t="n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 t="str">
        <f aca="false">IF(OR(L11="",M11=""),"",L11*M11)</f>
        <v/>
      </c>
      <c r="O11" s="3"/>
      <c r="P11" s="3"/>
      <c r="Q11" s="2"/>
      <c r="R11" s="2"/>
      <c r="S11" s="2"/>
      <c r="T11" s="2"/>
      <c r="U11" s="2" t="str">
        <f aca="false">IF(OR(H11="",I11="",J11=""),"",ROUND(ABS(J11-H11)/ABS(H11-I11),2))</f>
        <v/>
      </c>
      <c r="V11" s="2"/>
      <c r="W11" s="2"/>
      <c r="X11" s="2"/>
      <c r="Y11" s="2"/>
    </row>
    <row r="12" customFormat="false" ht="15" hidden="false" customHeight="false" outlineLevel="0" collapsed="false">
      <c r="A12" s="2" t="n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 t="str">
        <f aca="false">IF(OR(L12="",M12=""),"",L12*M12)</f>
        <v/>
      </c>
      <c r="O12" s="3"/>
      <c r="P12" s="3"/>
      <c r="Q12" s="2"/>
      <c r="R12" s="2"/>
      <c r="S12" s="2"/>
      <c r="T12" s="2"/>
      <c r="U12" s="2" t="str">
        <f aca="false">IF(OR(H12="",I12="",J12=""),"",ROUND(ABS(J12-H12)/ABS(H12-I12),2))</f>
        <v/>
      </c>
      <c r="V12" s="2"/>
      <c r="W12" s="2"/>
      <c r="X12" s="2"/>
      <c r="Y12" s="2"/>
    </row>
    <row r="13" customFormat="false" ht="15" hidden="false" customHeight="false" outlineLevel="0" collapsed="false">
      <c r="A13" s="2" t="n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 t="str">
        <f aca="false">IF(OR(L13="",M13=""),"",L13*M13)</f>
        <v/>
      </c>
      <c r="O13" s="3"/>
      <c r="P13" s="3"/>
      <c r="Q13" s="2"/>
      <c r="R13" s="2"/>
      <c r="S13" s="2"/>
      <c r="T13" s="2"/>
      <c r="U13" s="2" t="str">
        <f aca="false">IF(OR(H13="",I13="",J13=""),"",ROUND(ABS(J13-H13)/ABS(H13-I13),2))</f>
        <v/>
      </c>
      <c r="V13" s="2"/>
      <c r="W13" s="2"/>
      <c r="X13" s="2"/>
      <c r="Y13" s="2"/>
    </row>
    <row r="14" customFormat="false" ht="15" hidden="false" customHeight="false" outlineLevel="0" collapsed="false">
      <c r="A14" s="2" t="n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 t="str">
        <f aca="false">IF(OR(L14="",M14=""),"",L14*M14)</f>
        <v/>
      </c>
      <c r="O14" s="3"/>
      <c r="P14" s="3"/>
      <c r="Q14" s="2"/>
      <c r="R14" s="2"/>
      <c r="S14" s="2"/>
      <c r="T14" s="2"/>
      <c r="U14" s="2" t="str">
        <f aca="false">IF(OR(H14="",I14="",J14=""),"",ROUND(ABS(J14-H14)/ABS(H14-I14),2))</f>
        <v/>
      </c>
      <c r="V14" s="2"/>
      <c r="W14" s="2"/>
      <c r="X14" s="2"/>
      <c r="Y14" s="2"/>
    </row>
    <row r="15" customFormat="false" ht="15" hidden="false" customHeight="false" outlineLevel="0" collapsed="false">
      <c r="A15" s="2" t="n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tr">
        <f aca="false">IF(OR(L15="",M15=""),"",L15*M15)</f>
        <v/>
      </c>
      <c r="O15" s="3"/>
      <c r="P15" s="3"/>
      <c r="Q15" s="2"/>
      <c r="R15" s="2"/>
      <c r="S15" s="2"/>
      <c r="T15" s="2"/>
      <c r="U15" s="2" t="str">
        <f aca="false">IF(OR(H15="",I15="",J15=""),"",ROUND(ABS(J15-H15)/ABS(H15-I15),2))</f>
        <v/>
      </c>
      <c r="V15" s="2"/>
      <c r="W15" s="2"/>
      <c r="X15" s="2"/>
      <c r="Y15" s="2"/>
    </row>
    <row r="16" customFormat="false" ht="15" hidden="false" customHeight="false" outlineLevel="0" collapsed="false">
      <c r="A16" s="2" t="n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 t="str">
        <f aca="false">IF(OR(L16="",M16=""),"",L16*M16)</f>
        <v/>
      </c>
      <c r="O16" s="3"/>
      <c r="P16" s="3"/>
      <c r="Q16" s="2"/>
      <c r="R16" s="2"/>
      <c r="S16" s="2"/>
      <c r="T16" s="2"/>
      <c r="U16" s="2" t="str">
        <f aca="false">IF(OR(H16="",I16="",J16=""),"",ROUND(ABS(J16-H16)/ABS(H16-I16),2))</f>
        <v/>
      </c>
      <c r="V16" s="2"/>
      <c r="W16" s="2"/>
      <c r="X16" s="2"/>
      <c r="Y16" s="2"/>
    </row>
    <row r="17" customFormat="false" ht="15" hidden="false" customHeight="false" outlineLevel="0" collapsed="false">
      <c r="A17" s="2" t="n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 t="str">
        <f aca="false">IF(OR(L17="",M17=""),"",L17*M17)</f>
        <v/>
      </c>
      <c r="O17" s="3"/>
      <c r="P17" s="3"/>
      <c r="Q17" s="2"/>
      <c r="R17" s="2"/>
      <c r="S17" s="2"/>
      <c r="T17" s="2"/>
      <c r="U17" s="2" t="str">
        <f aca="false">IF(OR(H17="",I17="",J17=""),"",ROUND(ABS(J17-H17)/ABS(H17-I17),2))</f>
        <v/>
      </c>
      <c r="V17" s="2"/>
      <c r="W17" s="2"/>
      <c r="X17" s="2"/>
      <c r="Y17" s="2"/>
    </row>
    <row r="18" customFormat="false" ht="15" hidden="false" customHeight="false" outlineLevel="0" collapsed="false">
      <c r="A18" s="2" t="n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 t="str">
        <f aca="false">IF(OR(L18="",M18=""),"",L18*M18)</f>
        <v/>
      </c>
      <c r="O18" s="3"/>
      <c r="P18" s="3"/>
      <c r="Q18" s="2"/>
      <c r="R18" s="2"/>
      <c r="S18" s="2"/>
      <c r="T18" s="2"/>
      <c r="U18" s="2" t="str">
        <f aca="false">IF(OR(H18="",I18="",J18=""),"",ROUND(ABS(J18-H18)/ABS(H18-I18),2))</f>
        <v/>
      </c>
      <c r="V18" s="2"/>
      <c r="W18" s="2"/>
      <c r="X18" s="2"/>
      <c r="Y18" s="2"/>
    </row>
    <row r="19" customFormat="false" ht="15" hidden="false" customHeight="false" outlineLevel="0" collapsed="false">
      <c r="A19" s="2" t="n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 t="str">
        <f aca="false">IF(OR(L19="",M19=""),"",L19*M19)</f>
        <v/>
      </c>
      <c r="O19" s="3"/>
      <c r="P19" s="3"/>
      <c r="Q19" s="2"/>
      <c r="R19" s="2"/>
      <c r="S19" s="2"/>
      <c r="T19" s="2"/>
      <c r="U19" s="2" t="str">
        <f aca="false">IF(OR(H19="",I19="",J19=""),"",ROUND(ABS(J19-H19)/ABS(H19-I19),2))</f>
        <v/>
      </c>
      <c r="V19" s="2"/>
      <c r="W19" s="2"/>
      <c r="X19" s="2"/>
      <c r="Y19" s="2"/>
    </row>
    <row r="20" customFormat="false" ht="15" hidden="false" customHeight="false" outlineLevel="0" collapsed="false">
      <c r="A20" s="2" t="n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 t="str">
        <f aca="false">IF(OR(L20="",M20=""),"",L20*M20)</f>
        <v/>
      </c>
      <c r="O20" s="3"/>
      <c r="P20" s="3"/>
      <c r="Q20" s="2"/>
      <c r="R20" s="2"/>
      <c r="S20" s="2"/>
      <c r="T20" s="2"/>
      <c r="U20" s="2" t="str">
        <f aca="false">IF(OR(H20="",I20="",J20=""),"",ROUND(ABS(J20-H20)/ABS(H20-I20),2))</f>
        <v/>
      </c>
      <c r="V20" s="2"/>
      <c r="W20" s="2"/>
      <c r="X20" s="2"/>
      <c r="Y20" s="2"/>
    </row>
    <row r="21" customFormat="false" ht="15" hidden="false" customHeight="false" outlineLevel="0" collapsed="false">
      <c r="A21" s="2" t="n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 t="str">
        <f aca="false">IF(OR(L21="",M21=""),"",L21*M21)</f>
        <v/>
      </c>
      <c r="O21" s="3"/>
      <c r="P21" s="3"/>
      <c r="Q21" s="2"/>
      <c r="R21" s="2"/>
      <c r="S21" s="2"/>
      <c r="T21" s="2"/>
      <c r="U21" s="2" t="str">
        <f aca="false">IF(OR(H21="",I21="",J21=""),"",ROUND(ABS(J21-H21)/ABS(H21-I21),2))</f>
        <v/>
      </c>
      <c r="V21" s="2"/>
      <c r="W21" s="2"/>
      <c r="X21" s="2"/>
      <c r="Y21" s="2"/>
    </row>
    <row r="22" customFormat="false" ht="15" hidden="false" customHeight="false" outlineLevel="0" collapsed="false">
      <c r="A22" s="2" t="n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 t="str">
        <f aca="false">IF(OR(L22="",M22=""),"",L22*M22)</f>
        <v/>
      </c>
      <c r="O22" s="3"/>
      <c r="P22" s="3"/>
      <c r="Q22" s="2"/>
      <c r="R22" s="2"/>
      <c r="S22" s="2"/>
      <c r="T22" s="2"/>
      <c r="U22" s="2" t="str">
        <f aca="false">IF(OR(H22="",I22="",J22=""),"",ROUND(ABS(J22-H22)/ABS(H22-I22),2))</f>
        <v/>
      </c>
      <c r="V22" s="2"/>
      <c r="W22" s="2"/>
      <c r="X22" s="2"/>
      <c r="Y22" s="2"/>
    </row>
    <row r="23" customFormat="false" ht="15" hidden="false" customHeight="false" outlineLevel="0" collapsed="false">
      <c r="A23" s="2" t="n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 t="str">
        <f aca="false">IF(OR(L23="",M23=""),"",L23*M23)</f>
        <v/>
      </c>
      <c r="O23" s="3"/>
      <c r="P23" s="3"/>
      <c r="Q23" s="2"/>
      <c r="R23" s="2"/>
      <c r="S23" s="2"/>
      <c r="T23" s="2"/>
      <c r="U23" s="2" t="str">
        <f aca="false">IF(OR(H23="",I23="",J23=""),"",ROUND(ABS(J23-H23)/ABS(H23-I23),2))</f>
        <v/>
      </c>
      <c r="V23" s="2"/>
      <c r="W23" s="2"/>
      <c r="X23" s="2"/>
      <c r="Y23" s="2"/>
    </row>
    <row r="24" customFormat="false" ht="15" hidden="false" customHeight="false" outlineLevel="0" collapsed="false">
      <c r="A24" s="2" t="n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 t="str">
        <f aca="false">IF(OR(L24="",M24=""),"",L24*M24)</f>
        <v/>
      </c>
      <c r="O24" s="3"/>
      <c r="P24" s="3"/>
      <c r="Q24" s="2"/>
      <c r="R24" s="2"/>
      <c r="S24" s="2"/>
      <c r="T24" s="2"/>
      <c r="U24" s="2" t="str">
        <f aca="false">IF(OR(H24="",I24="",J24=""),"",ROUND(ABS(J24-H24)/ABS(H24-I24),2))</f>
        <v/>
      </c>
      <c r="V24" s="2"/>
      <c r="W24" s="2"/>
      <c r="X24" s="2"/>
      <c r="Y24" s="2"/>
    </row>
    <row r="25" customFormat="false" ht="15" hidden="false" customHeight="false" outlineLevel="0" collapsed="false">
      <c r="A25" s="2" t="n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 t="str">
        <f aca="false">IF(OR(L25="",M25=""),"",L25*M25)</f>
        <v/>
      </c>
      <c r="O25" s="3"/>
      <c r="P25" s="3"/>
      <c r="Q25" s="2"/>
      <c r="R25" s="2"/>
      <c r="S25" s="2"/>
      <c r="T25" s="2"/>
      <c r="U25" s="2" t="str">
        <f aca="false">IF(OR(H25="",I25="",J25=""),"",ROUND(ABS(J25-H25)/ABS(H25-I25),2))</f>
        <v/>
      </c>
      <c r="V25" s="2"/>
      <c r="W25" s="2"/>
      <c r="X25" s="2"/>
      <c r="Y25" s="2"/>
    </row>
    <row r="26" customFormat="false" ht="15" hidden="false" customHeight="false" outlineLevel="0" collapsed="false">
      <c r="A26" s="2" t="n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 t="str">
        <f aca="false">IF(OR(L26="",M26=""),"",L26*M26)</f>
        <v/>
      </c>
      <c r="O26" s="3"/>
      <c r="P26" s="3"/>
      <c r="Q26" s="2"/>
      <c r="R26" s="2"/>
      <c r="S26" s="2"/>
      <c r="T26" s="2"/>
      <c r="U26" s="2" t="str">
        <f aca="false">IF(OR(H26="",I26="",J26=""),"",ROUND(ABS(J26-H26)/ABS(H26-I26),2))</f>
        <v/>
      </c>
      <c r="V26" s="2"/>
      <c r="W26" s="2"/>
      <c r="X26" s="2"/>
      <c r="Y26" s="2"/>
    </row>
    <row r="27" customFormat="false" ht="15" hidden="false" customHeight="false" outlineLevel="0" collapsed="false">
      <c r="A27" s="2" t="n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 t="str">
        <f aca="false">IF(OR(L27="",M27=""),"",L27*M27)</f>
        <v/>
      </c>
      <c r="O27" s="3"/>
      <c r="P27" s="3"/>
      <c r="Q27" s="2"/>
      <c r="R27" s="2"/>
      <c r="S27" s="2"/>
      <c r="T27" s="2"/>
      <c r="U27" s="2" t="str">
        <f aca="false">IF(OR(H27="",I27="",J27=""),"",ROUND(ABS(J27-H27)/ABS(H27-I27),2))</f>
        <v/>
      </c>
      <c r="V27" s="2"/>
      <c r="W27" s="2"/>
      <c r="X27" s="2"/>
      <c r="Y27" s="2"/>
    </row>
    <row r="28" customFormat="false" ht="15" hidden="false" customHeight="false" outlineLevel="0" collapsed="false">
      <c r="A28" s="2" t="n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 t="str">
        <f aca="false">IF(OR(L28="",M28=""),"",L28*M28)</f>
        <v/>
      </c>
      <c r="O28" s="3"/>
      <c r="P28" s="3"/>
      <c r="Q28" s="2"/>
      <c r="R28" s="2"/>
      <c r="S28" s="2"/>
      <c r="T28" s="2"/>
      <c r="U28" s="2" t="str">
        <f aca="false">IF(OR(H28="",I28="",J28=""),"",ROUND(ABS(J28-H28)/ABS(H28-I28),2))</f>
        <v/>
      </c>
      <c r="V28" s="2"/>
      <c r="W28" s="2"/>
      <c r="X28" s="2"/>
      <c r="Y28" s="2"/>
    </row>
    <row r="29" customFormat="false" ht="15" hidden="false" customHeight="false" outlineLevel="0" collapsed="false">
      <c r="A29" s="2" t="n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 t="str">
        <f aca="false">IF(OR(L29="",M29=""),"",L29*M29)</f>
        <v/>
      </c>
      <c r="O29" s="3"/>
      <c r="P29" s="3"/>
      <c r="Q29" s="2"/>
      <c r="R29" s="2"/>
      <c r="S29" s="2"/>
      <c r="T29" s="2"/>
      <c r="U29" s="2" t="str">
        <f aca="false">IF(OR(H29="",I29="",J29=""),"",ROUND(ABS(J29-H29)/ABS(H29-I29),2))</f>
        <v/>
      </c>
      <c r="V29" s="2"/>
      <c r="W29" s="2"/>
      <c r="X29" s="2"/>
      <c r="Y29" s="2"/>
    </row>
    <row r="30" customFormat="false" ht="15" hidden="false" customHeight="false" outlineLevel="0" collapsed="false">
      <c r="A30" s="2" t="n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 t="str">
        <f aca="false">IF(OR(L30="",M30=""),"",L30*M30)</f>
        <v/>
      </c>
      <c r="O30" s="3"/>
      <c r="P30" s="3"/>
      <c r="Q30" s="2"/>
      <c r="R30" s="2"/>
      <c r="S30" s="2"/>
      <c r="T30" s="2"/>
      <c r="U30" s="2" t="str">
        <f aca="false">IF(OR(H30="",I30="",J30=""),"",ROUND(ABS(J30-H30)/ABS(H30-I30),2))</f>
        <v/>
      </c>
      <c r="V30" s="2"/>
      <c r="W30" s="2"/>
      <c r="X30" s="2"/>
      <c r="Y30" s="2"/>
    </row>
    <row r="31" customFormat="false" ht="15" hidden="false" customHeight="false" outlineLevel="0" collapsed="false">
      <c r="A31" s="2" t="n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 t="str">
        <f aca="false">IF(OR(L31="",M31=""),"",L31*M31)</f>
        <v/>
      </c>
      <c r="O31" s="3"/>
      <c r="P31" s="3"/>
      <c r="Q31" s="2"/>
      <c r="R31" s="2"/>
      <c r="S31" s="2"/>
      <c r="T31" s="2"/>
      <c r="U31" s="2" t="str">
        <f aca="false">IF(OR(H31="",I31="",J31=""),"",ROUND(ABS(J31-H31)/ABS(H31-I31),2))</f>
        <v/>
      </c>
      <c r="V31" s="2"/>
      <c r="W31" s="2"/>
      <c r="X31" s="2"/>
      <c r="Y31" s="2"/>
    </row>
    <row r="32" customFormat="false" ht="15" hidden="false" customHeight="false" outlineLevel="0" collapsed="false">
      <c r="A32" s="2" t="n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 t="str">
        <f aca="false">IF(OR(L32="",M32=""),"",L32*M32)</f>
        <v/>
      </c>
      <c r="O32" s="3"/>
      <c r="P32" s="3"/>
      <c r="Q32" s="2"/>
      <c r="R32" s="2"/>
      <c r="S32" s="2"/>
      <c r="T32" s="2"/>
      <c r="U32" s="2" t="str">
        <f aca="false">IF(OR(H32="",I32="",J32=""),"",ROUND(ABS(J32-H32)/ABS(H32-I32),2))</f>
        <v/>
      </c>
      <c r="V32" s="2"/>
      <c r="W32" s="2"/>
      <c r="X32" s="2"/>
      <c r="Y32" s="2"/>
    </row>
    <row r="33" customFormat="false" ht="15" hidden="false" customHeight="false" outlineLevel="0" collapsed="false">
      <c r="A33" s="2" t="n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 t="str">
        <f aca="false">IF(OR(L33="",M33=""),"",L33*M33)</f>
        <v/>
      </c>
      <c r="O33" s="3"/>
      <c r="P33" s="3"/>
      <c r="Q33" s="2"/>
      <c r="R33" s="2"/>
      <c r="S33" s="2"/>
      <c r="T33" s="2"/>
      <c r="U33" s="2" t="str">
        <f aca="false">IF(OR(H33="",I33="",J33=""),"",ROUND(ABS(J33-H33)/ABS(H33-I33),2))</f>
        <v/>
      </c>
      <c r="V33" s="2"/>
      <c r="W33" s="2"/>
      <c r="X33" s="2"/>
      <c r="Y33" s="2"/>
    </row>
    <row r="34" customFormat="false" ht="15" hidden="false" customHeight="false" outlineLevel="0" collapsed="false">
      <c r="A34" s="2" t="n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 t="str">
        <f aca="false">IF(OR(L34="",M34=""),"",L34*M34)</f>
        <v/>
      </c>
      <c r="O34" s="3"/>
      <c r="P34" s="3"/>
      <c r="Q34" s="2"/>
      <c r="R34" s="2"/>
      <c r="S34" s="2"/>
      <c r="T34" s="2"/>
      <c r="U34" s="2" t="str">
        <f aca="false">IF(OR(H34="",I34="",J34=""),"",ROUND(ABS(J34-H34)/ABS(H34-I34),2))</f>
        <v/>
      </c>
      <c r="V34" s="2"/>
      <c r="W34" s="2"/>
      <c r="X34" s="2"/>
      <c r="Y34" s="2"/>
    </row>
    <row r="35" customFormat="false" ht="15" hidden="false" customHeight="false" outlineLevel="0" collapsed="false">
      <c r="A35" s="2" t="n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 t="str">
        <f aca="false">IF(OR(L35="",M35=""),"",L35*M35)</f>
        <v/>
      </c>
      <c r="O35" s="3"/>
      <c r="P35" s="3"/>
      <c r="Q35" s="2"/>
      <c r="R35" s="2"/>
      <c r="S35" s="2"/>
      <c r="T35" s="2"/>
      <c r="U35" s="2" t="str">
        <f aca="false">IF(OR(H35="",I35="",J35=""),"",ROUND(ABS(J35-H35)/ABS(H35-I35),2))</f>
        <v/>
      </c>
      <c r="V35" s="2"/>
      <c r="W35" s="2"/>
      <c r="X35" s="2"/>
      <c r="Y35" s="2"/>
    </row>
    <row r="36" customFormat="false" ht="15" hidden="false" customHeight="false" outlineLevel="0" collapsed="false">
      <c r="A36" s="2" t="n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 t="str">
        <f aca="false">IF(OR(L36="",M36=""),"",L36*M36)</f>
        <v/>
      </c>
      <c r="O36" s="3"/>
      <c r="P36" s="3"/>
      <c r="Q36" s="2"/>
      <c r="R36" s="2"/>
      <c r="S36" s="2"/>
      <c r="T36" s="2"/>
      <c r="U36" s="2" t="str">
        <f aca="false">IF(OR(H36="",I36="",J36=""),"",ROUND(ABS(J36-H36)/ABS(H36-I36),2))</f>
        <v/>
      </c>
      <c r="V36" s="2"/>
      <c r="W36" s="2"/>
      <c r="X36" s="2"/>
      <c r="Y36" s="2"/>
    </row>
    <row r="37" customFormat="false" ht="15" hidden="false" customHeight="false" outlineLevel="0" collapsed="false">
      <c r="A37" s="2" t="n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 t="str">
        <f aca="false">IF(OR(L37="",M37=""),"",L37*M37)</f>
        <v/>
      </c>
      <c r="O37" s="3"/>
      <c r="P37" s="3"/>
      <c r="Q37" s="2"/>
      <c r="R37" s="2"/>
      <c r="S37" s="2"/>
      <c r="T37" s="2"/>
      <c r="U37" s="2" t="str">
        <f aca="false">IF(OR(H37="",I37="",J37=""),"",ROUND(ABS(J37-H37)/ABS(H37-I37),2))</f>
        <v/>
      </c>
      <c r="V37" s="2"/>
      <c r="W37" s="2"/>
      <c r="X37" s="2"/>
      <c r="Y37" s="2"/>
    </row>
    <row r="38" customFormat="false" ht="15" hidden="false" customHeight="false" outlineLevel="0" collapsed="false">
      <c r="A38" s="2" t="n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 t="str">
        <f aca="false">IF(OR(L38="",M38=""),"",L38*M38)</f>
        <v/>
      </c>
      <c r="O38" s="3"/>
      <c r="P38" s="3"/>
      <c r="Q38" s="2"/>
      <c r="R38" s="2"/>
      <c r="S38" s="2"/>
      <c r="T38" s="2"/>
      <c r="U38" s="2" t="str">
        <f aca="false">IF(OR(H38="",I38="",J38=""),"",ROUND(ABS(J38-H38)/ABS(H38-I38),2))</f>
        <v/>
      </c>
      <c r="V38" s="2"/>
      <c r="W38" s="2"/>
      <c r="X38" s="2"/>
      <c r="Y38" s="2"/>
    </row>
    <row r="39" customFormat="false" ht="15" hidden="false" customHeight="false" outlineLevel="0" collapsed="false">
      <c r="A39" s="2" t="n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 t="str">
        <f aca="false">IF(OR(L39="",M39=""),"",L39*M39)</f>
        <v/>
      </c>
      <c r="O39" s="3"/>
      <c r="P39" s="3"/>
      <c r="Q39" s="2"/>
      <c r="R39" s="2"/>
      <c r="S39" s="2"/>
      <c r="T39" s="2"/>
      <c r="U39" s="2" t="str">
        <f aca="false">IF(OR(H39="",I39="",J39=""),"",ROUND(ABS(J39-H39)/ABS(H39-I39),2))</f>
        <v/>
      </c>
      <c r="V39" s="2"/>
      <c r="W39" s="2"/>
      <c r="X39" s="2"/>
      <c r="Y39" s="2"/>
    </row>
    <row r="40" customFormat="false" ht="15" hidden="false" customHeight="false" outlineLevel="0" collapsed="false">
      <c r="A40" s="2" t="n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 t="str">
        <f aca="false">IF(OR(L40="",M40=""),"",L40*M40)</f>
        <v/>
      </c>
      <c r="O40" s="3"/>
      <c r="P40" s="3"/>
      <c r="Q40" s="2"/>
      <c r="R40" s="2"/>
      <c r="S40" s="2"/>
      <c r="T40" s="2"/>
      <c r="U40" s="2" t="str">
        <f aca="false">IF(OR(H40="",I40="",J40=""),"",ROUND(ABS(J40-H40)/ABS(H40-I40),2))</f>
        <v/>
      </c>
      <c r="V40" s="2"/>
      <c r="W40" s="2"/>
      <c r="X40" s="2"/>
      <c r="Y40" s="2"/>
    </row>
    <row r="41" customFormat="false" ht="15" hidden="false" customHeight="false" outlineLevel="0" collapsed="false">
      <c r="A41" s="2" t="n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 t="str">
        <f aca="false">IF(OR(L41="",M41=""),"",L41*M41)</f>
        <v/>
      </c>
      <c r="O41" s="3"/>
      <c r="P41" s="3"/>
      <c r="Q41" s="2"/>
      <c r="R41" s="2"/>
      <c r="S41" s="2"/>
      <c r="T41" s="2"/>
      <c r="U41" s="2" t="str">
        <f aca="false">IF(OR(H41="",I41="",J41=""),"",ROUND(ABS(J41-H41)/ABS(H41-I41),2))</f>
        <v/>
      </c>
      <c r="V41" s="2"/>
      <c r="W41" s="2"/>
      <c r="X41" s="2"/>
      <c r="Y41" s="2"/>
    </row>
    <row r="42" customFormat="false" ht="15" hidden="false" customHeight="false" outlineLevel="0" collapsed="false">
      <c r="A42" s="2" t="n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 t="str">
        <f aca="false">IF(OR(L42="",M42=""),"",L42*M42)</f>
        <v/>
      </c>
      <c r="O42" s="3"/>
      <c r="P42" s="3"/>
      <c r="Q42" s="2"/>
      <c r="R42" s="2"/>
      <c r="S42" s="2"/>
      <c r="T42" s="2"/>
      <c r="U42" s="2" t="str">
        <f aca="false">IF(OR(H42="",I42="",J42=""),"",ROUND(ABS(J42-H42)/ABS(H42-I42),2))</f>
        <v/>
      </c>
      <c r="V42" s="2"/>
      <c r="W42" s="2"/>
      <c r="X42" s="2"/>
      <c r="Y42" s="2"/>
    </row>
    <row r="43" customFormat="false" ht="15" hidden="false" customHeight="false" outlineLevel="0" collapsed="false">
      <c r="A43" s="2" t="n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 t="str">
        <f aca="false">IF(OR(L43="",M43=""),"",L43*M43)</f>
        <v/>
      </c>
      <c r="O43" s="3"/>
      <c r="P43" s="3"/>
      <c r="Q43" s="2"/>
      <c r="R43" s="2"/>
      <c r="S43" s="2"/>
      <c r="T43" s="2"/>
      <c r="U43" s="2" t="str">
        <f aca="false">IF(OR(H43="",I43="",J43=""),"",ROUND(ABS(J43-H43)/ABS(H43-I43),2))</f>
        <v/>
      </c>
      <c r="V43" s="2"/>
      <c r="W43" s="2"/>
      <c r="X43" s="2"/>
      <c r="Y43" s="2"/>
    </row>
    <row r="44" customFormat="false" ht="15" hidden="false" customHeight="false" outlineLevel="0" collapsed="false">
      <c r="A44" s="2" t="n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 t="str">
        <f aca="false">IF(OR(L44="",M44=""),"",L44*M44)</f>
        <v/>
      </c>
      <c r="O44" s="3"/>
      <c r="P44" s="3"/>
      <c r="Q44" s="2"/>
      <c r="R44" s="2"/>
      <c r="S44" s="2"/>
      <c r="T44" s="2"/>
      <c r="U44" s="2" t="str">
        <f aca="false">IF(OR(H44="",I44="",J44=""),"",ROUND(ABS(J44-H44)/ABS(H44-I44),2))</f>
        <v/>
      </c>
      <c r="V44" s="2"/>
      <c r="W44" s="2"/>
      <c r="X44" s="2"/>
      <c r="Y44" s="2"/>
    </row>
    <row r="45" customFormat="false" ht="15" hidden="false" customHeight="false" outlineLevel="0" collapsed="false">
      <c r="A45" s="2" t="n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 t="str">
        <f aca="false">IF(OR(L45="",M45=""),"",L45*M45)</f>
        <v/>
      </c>
      <c r="O45" s="3"/>
      <c r="P45" s="3"/>
      <c r="Q45" s="2"/>
      <c r="R45" s="2"/>
      <c r="S45" s="2"/>
      <c r="T45" s="2"/>
      <c r="U45" s="2" t="str">
        <f aca="false">IF(OR(H45="",I45="",J45=""),"",ROUND(ABS(J45-H45)/ABS(H45-I45),2))</f>
        <v/>
      </c>
      <c r="V45" s="2"/>
      <c r="W45" s="2"/>
      <c r="X45" s="2"/>
      <c r="Y45" s="2"/>
    </row>
    <row r="46" customFormat="false" ht="15" hidden="false" customHeight="false" outlineLevel="0" collapsed="false">
      <c r="A46" s="2" t="n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 t="str">
        <f aca="false">IF(OR(L46="",M46=""),"",L46*M46)</f>
        <v/>
      </c>
      <c r="O46" s="3"/>
      <c r="P46" s="3"/>
      <c r="Q46" s="2"/>
      <c r="R46" s="2"/>
      <c r="S46" s="2"/>
      <c r="T46" s="2"/>
      <c r="U46" s="2" t="str">
        <f aca="false">IF(OR(H46="",I46="",J46=""),"",ROUND(ABS(J46-H46)/ABS(H46-I46),2))</f>
        <v/>
      </c>
      <c r="V46" s="2"/>
      <c r="W46" s="2"/>
      <c r="X46" s="2"/>
      <c r="Y46" s="2"/>
    </row>
    <row r="47" customFormat="false" ht="15" hidden="false" customHeight="false" outlineLevel="0" collapsed="false">
      <c r="A47" s="2" t="n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 t="str">
        <f aca="false">IF(OR(L47="",M47=""),"",L47*M47)</f>
        <v/>
      </c>
      <c r="O47" s="3"/>
      <c r="P47" s="3"/>
      <c r="Q47" s="2"/>
      <c r="R47" s="2"/>
      <c r="S47" s="2"/>
      <c r="T47" s="2"/>
      <c r="U47" s="2" t="str">
        <f aca="false">IF(OR(H47="",I47="",J47=""),"",ROUND(ABS(J47-H47)/ABS(H47-I47),2))</f>
        <v/>
      </c>
      <c r="V47" s="2"/>
      <c r="W47" s="2"/>
      <c r="X47" s="2"/>
      <c r="Y47" s="2"/>
    </row>
    <row r="48" customFormat="false" ht="15" hidden="false" customHeight="false" outlineLevel="0" collapsed="false">
      <c r="A48" s="2" t="n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 t="str">
        <f aca="false">IF(OR(L48="",M48=""),"",L48*M48)</f>
        <v/>
      </c>
      <c r="O48" s="3"/>
      <c r="P48" s="3"/>
      <c r="Q48" s="2"/>
      <c r="R48" s="2"/>
      <c r="S48" s="2"/>
      <c r="T48" s="2"/>
      <c r="U48" s="2" t="str">
        <f aca="false">IF(OR(H48="",I48="",J48=""),"",ROUND(ABS(J48-H48)/ABS(H48-I48),2))</f>
        <v/>
      </c>
      <c r="V48" s="2"/>
      <c r="W48" s="2"/>
      <c r="X48" s="2"/>
      <c r="Y48" s="2"/>
    </row>
    <row r="49" customFormat="false" ht="15" hidden="false" customHeight="false" outlineLevel="0" collapsed="false">
      <c r="A49" s="2" t="n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 t="str">
        <f aca="false">IF(OR(L49="",M49=""),"",L49*M49)</f>
        <v/>
      </c>
      <c r="O49" s="3"/>
      <c r="P49" s="3"/>
      <c r="Q49" s="2"/>
      <c r="R49" s="2"/>
      <c r="S49" s="2"/>
      <c r="T49" s="2"/>
      <c r="U49" s="2" t="str">
        <f aca="false">IF(OR(H49="",I49="",J49=""),"",ROUND(ABS(J49-H49)/ABS(H49-I49),2))</f>
        <v/>
      </c>
      <c r="V49" s="2"/>
      <c r="W49" s="2"/>
      <c r="X49" s="2"/>
      <c r="Y49" s="2"/>
    </row>
    <row r="50" customFormat="false" ht="15" hidden="false" customHeight="false" outlineLevel="0" collapsed="false">
      <c r="A50" s="2" t="n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 t="str">
        <f aca="false">IF(OR(L50="",M50=""),"",L50*M50)</f>
        <v/>
      </c>
      <c r="O50" s="3"/>
      <c r="P50" s="3"/>
      <c r="Q50" s="2"/>
      <c r="R50" s="2"/>
      <c r="S50" s="2"/>
      <c r="T50" s="2"/>
      <c r="U50" s="2" t="str">
        <f aca="false">IF(OR(H50="",I50="",J50=""),"",ROUND(ABS(J50-H50)/ABS(H50-I50),2))</f>
        <v/>
      </c>
      <c r="V50" s="2"/>
      <c r="W50" s="2"/>
      <c r="X50" s="2"/>
      <c r="Y50" s="2"/>
    </row>
    <row r="51" customFormat="false" ht="15" hidden="false" customHeight="false" outlineLevel="0" collapsed="false">
      <c r="A51" s="2" t="n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 t="str">
        <f aca="false">IF(OR(L51="",M51=""),"",L51*M51)</f>
        <v/>
      </c>
      <c r="O51" s="3"/>
      <c r="P51" s="3"/>
      <c r="Q51" s="2"/>
      <c r="R51" s="2"/>
      <c r="S51" s="2"/>
      <c r="T51" s="2"/>
      <c r="U51" s="2" t="str">
        <f aca="false">IF(OR(H51="",I51="",J51=""),"",ROUND(ABS(J51-H51)/ABS(H51-I51),2))</f>
        <v/>
      </c>
      <c r="V51" s="2"/>
      <c r="W51" s="2"/>
      <c r="X51" s="2"/>
      <c r="Y51" s="2"/>
    </row>
    <row r="52" customFormat="false" ht="15" hidden="false" customHeight="false" outlineLevel="0" collapsed="false">
      <c r="A52" s="2" t="n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 t="str">
        <f aca="false">IF(OR(L52="",M52=""),"",L52*M52)</f>
        <v/>
      </c>
      <c r="O52" s="3"/>
      <c r="P52" s="3"/>
      <c r="Q52" s="2"/>
      <c r="R52" s="2"/>
      <c r="S52" s="2"/>
      <c r="T52" s="2"/>
      <c r="U52" s="2" t="str">
        <f aca="false">IF(OR(H52="",I52="",J52=""),"",ROUND(ABS(J52-H52)/ABS(H52-I52),2))</f>
        <v/>
      </c>
      <c r="V52" s="2"/>
      <c r="W52" s="2"/>
      <c r="X52" s="2"/>
      <c r="Y52" s="2"/>
    </row>
    <row r="53" customFormat="false" ht="15" hidden="false" customHeight="false" outlineLevel="0" collapsed="false">
      <c r="A53" s="2" t="n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 t="str">
        <f aca="false">IF(OR(L53="",M53=""),"",L53*M53)</f>
        <v/>
      </c>
      <c r="O53" s="3"/>
      <c r="P53" s="3"/>
      <c r="Q53" s="2"/>
      <c r="R53" s="2"/>
      <c r="S53" s="2"/>
      <c r="T53" s="2"/>
      <c r="U53" s="2" t="str">
        <f aca="false">IF(OR(H53="",I53="",J53=""),"",ROUND(ABS(J53-H53)/ABS(H53-I53),2))</f>
        <v/>
      </c>
      <c r="V53" s="2"/>
      <c r="W53" s="2"/>
      <c r="X53" s="2"/>
      <c r="Y53" s="2"/>
    </row>
    <row r="54" customFormat="false" ht="15" hidden="false" customHeight="false" outlineLevel="0" collapsed="false">
      <c r="A54" s="2" t="n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 t="str">
        <f aca="false">IF(OR(L54="",M54=""),"",L54*M54)</f>
        <v/>
      </c>
      <c r="O54" s="3"/>
      <c r="P54" s="3"/>
      <c r="Q54" s="2"/>
      <c r="R54" s="2"/>
      <c r="S54" s="2"/>
      <c r="T54" s="2"/>
      <c r="U54" s="2" t="str">
        <f aca="false">IF(OR(H54="",I54="",J54=""),"",ROUND(ABS(J54-H54)/ABS(H54-I54),2))</f>
        <v/>
      </c>
      <c r="V54" s="2"/>
      <c r="W54" s="2"/>
      <c r="X54" s="2"/>
      <c r="Y54" s="2"/>
    </row>
    <row r="55" customFormat="false" ht="15" hidden="false" customHeight="false" outlineLevel="0" collapsed="false">
      <c r="A55" s="2" t="n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 t="str">
        <f aca="false">IF(OR(L55="",M55=""),"",L55*M55)</f>
        <v/>
      </c>
      <c r="O55" s="3"/>
      <c r="P55" s="3"/>
      <c r="Q55" s="2"/>
      <c r="R55" s="2"/>
      <c r="S55" s="2"/>
      <c r="T55" s="2"/>
      <c r="U55" s="2" t="str">
        <f aca="false">IF(OR(H55="",I55="",J55=""),"",ROUND(ABS(J55-H55)/ABS(H55-I55),2))</f>
        <v/>
      </c>
      <c r="V55" s="2"/>
      <c r="W55" s="2"/>
      <c r="X55" s="2"/>
      <c r="Y55" s="2"/>
    </row>
    <row r="56" customFormat="false" ht="15" hidden="false" customHeight="false" outlineLevel="0" collapsed="false">
      <c r="A56" s="2" t="n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 t="str">
        <f aca="false">IF(OR(L56="",M56=""),"",L56*M56)</f>
        <v/>
      </c>
      <c r="O56" s="3"/>
      <c r="P56" s="3"/>
      <c r="Q56" s="2"/>
      <c r="R56" s="2"/>
      <c r="S56" s="2"/>
      <c r="T56" s="2"/>
      <c r="U56" s="2" t="str">
        <f aca="false">IF(OR(H56="",I56="",J56=""),"",ROUND(ABS(J56-H56)/ABS(H56-I56),2))</f>
        <v/>
      </c>
      <c r="V56" s="2"/>
      <c r="W56" s="2"/>
      <c r="X56" s="2"/>
      <c r="Y56" s="2"/>
    </row>
    <row r="57" customFormat="false" ht="15" hidden="false" customHeight="false" outlineLevel="0" collapsed="false">
      <c r="A57" s="2" t="n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 t="str">
        <f aca="false">IF(OR(L57="",M57=""),"",L57*M57)</f>
        <v/>
      </c>
      <c r="O57" s="3"/>
      <c r="P57" s="3"/>
      <c r="Q57" s="2"/>
      <c r="R57" s="2"/>
      <c r="S57" s="2"/>
      <c r="T57" s="2"/>
      <c r="U57" s="2" t="str">
        <f aca="false">IF(OR(H57="",I57="",J57=""),"",ROUND(ABS(J57-H57)/ABS(H57-I57),2))</f>
        <v/>
      </c>
      <c r="V57" s="2"/>
      <c r="W57" s="2"/>
      <c r="X57" s="2"/>
      <c r="Y57" s="2"/>
    </row>
    <row r="58" customFormat="false" ht="15" hidden="false" customHeight="false" outlineLevel="0" collapsed="false">
      <c r="A58" s="2" t="n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 t="str">
        <f aca="false">IF(OR(L58="",M58=""),"",L58*M58)</f>
        <v/>
      </c>
      <c r="O58" s="3"/>
      <c r="P58" s="3"/>
      <c r="Q58" s="2"/>
      <c r="R58" s="2"/>
      <c r="S58" s="2"/>
      <c r="T58" s="2"/>
      <c r="U58" s="2" t="str">
        <f aca="false">IF(OR(H58="",I58="",J58=""),"",ROUND(ABS(J58-H58)/ABS(H58-I58),2))</f>
        <v/>
      </c>
      <c r="V58" s="2"/>
      <c r="W58" s="2"/>
      <c r="X58" s="2"/>
      <c r="Y58" s="2"/>
    </row>
    <row r="59" customFormat="false" ht="15" hidden="false" customHeight="false" outlineLevel="0" collapsed="false">
      <c r="A59" s="2" t="n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 t="str">
        <f aca="false">IF(OR(L59="",M59=""),"",L59*M59)</f>
        <v/>
      </c>
      <c r="O59" s="3"/>
      <c r="P59" s="3"/>
      <c r="Q59" s="2"/>
      <c r="R59" s="2"/>
      <c r="S59" s="2"/>
      <c r="T59" s="2"/>
      <c r="U59" s="2" t="str">
        <f aca="false">IF(OR(H59="",I59="",J59=""),"",ROUND(ABS(J59-H59)/ABS(H59-I59),2))</f>
        <v/>
      </c>
      <c r="V59" s="2"/>
      <c r="W59" s="2"/>
      <c r="X59" s="2"/>
      <c r="Y59" s="2"/>
    </row>
    <row r="60" customFormat="false" ht="15" hidden="false" customHeight="false" outlineLevel="0" collapsed="false">
      <c r="A60" s="2" t="n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 t="str">
        <f aca="false">IF(OR(L60="",M60=""),"",L60*M60)</f>
        <v/>
      </c>
      <c r="O60" s="3"/>
      <c r="P60" s="3"/>
      <c r="Q60" s="2"/>
      <c r="R60" s="2"/>
      <c r="S60" s="2"/>
      <c r="T60" s="2"/>
      <c r="U60" s="2" t="str">
        <f aca="false">IF(OR(H60="",I60="",J60=""),"",ROUND(ABS(J60-H60)/ABS(H60-I60),2))</f>
        <v/>
      </c>
      <c r="V60" s="2"/>
      <c r="W60" s="2"/>
      <c r="X60" s="2"/>
      <c r="Y60" s="2"/>
    </row>
    <row r="61" customFormat="false" ht="15" hidden="false" customHeight="false" outlineLevel="0" collapsed="false">
      <c r="A61" s="2" t="n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 t="str">
        <f aca="false">IF(OR(L61="",M61=""),"",L61*M61)</f>
        <v/>
      </c>
      <c r="O61" s="3"/>
      <c r="P61" s="3"/>
      <c r="Q61" s="2"/>
      <c r="R61" s="2"/>
      <c r="S61" s="2"/>
      <c r="T61" s="2"/>
      <c r="U61" s="2" t="str">
        <f aca="false">IF(OR(H61="",I61="",J61=""),"",ROUND(ABS(J61-H61)/ABS(H61-I61),2))</f>
        <v/>
      </c>
      <c r="V61" s="2"/>
      <c r="W61" s="2"/>
      <c r="X61" s="2"/>
      <c r="Y61" s="2"/>
    </row>
  </sheetData>
  <conditionalFormatting sqref="T2:T61">
    <cfRule type="cellIs" priority="2" operator="equal" aboveAverage="0" equalAverage="0" bottom="0" percent="0" rank="0" text="" dxfId="0">
      <formula>"Win"</formula>
    </cfRule>
    <cfRule type="cellIs" priority="3" operator="equal" aboveAverage="0" equalAverage="0" bottom="0" percent="0" rank="0" text="" dxfId="1">
      <formula>"Loss"</formula>
    </cfRule>
    <cfRule type="cellIs" priority="4" operator="equal" aboveAverage="0" equalAverage="0" bottom="0" percent="0" rank="0" text="" dxfId="2">
      <formula>"BE"</formula>
    </cfRule>
  </conditionalFormatting>
  <dataValidations count="4">
    <dataValidation allowBlank="true" errorStyle="stop" operator="between" showDropDown="false" showErrorMessage="false" showInputMessage="false" sqref="G2:G61" type="list">
      <formula1>"BUY,SELL"</formula1>
      <formula2>0</formula2>
    </dataValidation>
    <dataValidation allowBlank="true" errorStyle="stop" operator="between" showDropDown="false" showErrorMessage="false" showInputMessage="false" sqref="F2:F61" type="list">
      <formula1>"M1,M3,M5,M15"</formula1>
      <formula2>0</formula2>
    </dataValidation>
    <dataValidation allowBlank="true" errorStyle="stop" operator="between" showDropDown="false" showErrorMessage="false" showInputMessage="false" sqref="T2:T61" type="list">
      <formula1>"Win,Loss,BE"</formula1>
      <formula2>0</formula2>
    </dataValidation>
    <dataValidation allowBlank="true" errorStyle="stop" operator="between" showDropDown="false" showErrorMessage="false" showInputMessage="false" sqref="O2:O61" type="list">
      <formula1>"0,1,2,3,4,5"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32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4" t="s">
        <v>25</v>
      </c>
    </row>
    <row r="2" customFormat="false" ht="15" hidden="false" customHeight="false" outlineLevel="0" collapsed="false">
      <c r="A2" s="5" t="s">
        <v>26</v>
      </c>
    </row>
    <row r="4" customFormat="false" ht="15" hidden="false" customHeight="false" outlineLevel="0" collapsed="false">
      <c r="A4" s="6" t="s">
        <v>27</v>
      </c>
      <c r="B4" s="6" t="s">
        <v>28</v>
      </c>
    </row>
    <row r="5" customFormat="false" ht="15" hidden="false" customHeight="false" outlineLevel="0" collapsed="false">
      <c r="A5" s="2" t="s">
        <v>29</v>
      </c>
      <c r="B5" s="7" t="n">
        <f aca="false">COUNTA('Nhat Ky Lenh'!C2:C61)-COUNTBLANK('Nhat Ky Lenh'!C2:C61)+0-0+COUNTIF('Nhat Ky Lenh'!T2:T61,"&lt;&gt;")</f>
        <v>-60</v>
      </c>
    </row>
    <row r="6" customFormat="false" ht="15" hidden="false" customHeight="false" outlineLevel="0" collapsed="false">
      <c r="A6" s="2" t="s">
        <v>30</v>
      </c>
      <c r="B6" s="7" t="n">
        <f aca="false">COUNTIF('Nhat Ky Lenh'!$T$2:$T$61,"Win")</f>
        <v>0</v>
      </c>
    </row>
    <row r="7" customFormat="false" ht="15" hidden="false" customHeight="false" outlineLevel="0" collapsed="false">
      <c r="A7" s="2" t="s">
        <v>31</v>
      </c>
      <c r="B7" s="7" t="n">
        <f aca="false">COUNTIF('Nhat Ky Lenh'!$T$2:$T$61,"Loss")</f>
        <v>0</v>
      </c>
    </row>
    <row r="8" customFormat="false" ht="15" hidden="false" customHeight="false" outlineLevel="0" collapsed="false">
      <c r="A8" s="2" t="s">
        <v>32</v>
      </c>
      <c r="B8" s="7" t="n">
        <f aca="false">COUNTIF('Nhat Ky Lenh'!$T$2:$T$61,"BE")</f>
        <v>0</v>
      </c>
    </row>
    <row r="9" customFormat="false" ht="15" hidden="false" customHeight="false" outlineLevel="0" collapsed="false">
      <c r="A9" s="2" t="s">
        <v>33</v>
      </c>
      <c r="B9" s="8" t="str">
        <f aca="false">IFERROR(COUNTIF('Nhat Ky Lenh'!$T$2:$T$61,"Win")/(COUNTIF('Nhat Ky Lenh'!$T$2:$T$61,"Win")+COUNTIF('Nhat Ky Lenh'!$T$2:$T$61,"Loss")),"")</f>
        <v/>
      </c>
    </row>
    <row r="10" customFormat="false" ht="15" hidden="false" customHeight="false" outlineLevel="0" collapsed="false">
      <c r="A10" s="2" t="s">
        <v>34</v>
      </c>
      <c r="B10" s="7" t="str">
        <f aca="false">IFERROR(AVERAGE('Nhat Ky Lenh'!$U$2:$U$61),"")</f>
        <v/>
      </c>
    </row>
    <row r="11" customFormat="false" ht="15" hidden="false" customHeight="false" outlineLevel="0" collapsed="false">
      <c r="A11" s="2" t="s">
        <v>35</v>
      </c>
      <c r="B11" s="9" t="n">
        <f aca="false">SUM('Nhat Ky Lenh'!$W$2:$W$61)</f>
        <v>0</v>
      </c>
    </row>
    <row r="12" customFormat="false" ht="15" hidden="false" customHeight="false" outlineLevel="0" collapsed="false">
      <c r="A12" s="2" t="s">
        <v>36</v>
      </c>
      <c r="B12" s="9" t="str">
        <f aca="false">IFERROR(AVERAGE('Nhat Ky Lenh'!$W$2:$W$61),"")</f>
        <v/>
      </c>
    </row>
    <row r="13" customFormat="false" ht="15" hidden="false" customHeight="false" outlineLevel="0" collapsed="false">
      <c r="A13" s="2" t="s">
        <v>37</v>
      </c>
      <c r="B13" s="7" t="str">
        <f aca="false">IFERROR(AVERAGEIF('Nhat Ky Lenh'!$T$2:$T$61,"Win",'Nhat Ky Lenh'!$O$2:$O$61),"")</f>
        <v/>
      </c>
    </row>
    <row r="14" customFormat="false" ht="15" hidden="false" customHeight="false" outlineLevel="0" collapsed="false">
      <c r="A14" s="2" t="s">
        <v>38</v>
      </c>
      <c r="B14" s="7" t="str">
        <f aca="false">IFERROR(AVERAGEIF('Nhat Ky Lenh'!$T$2:$T$61,"Loss",'Nhat Ky Lenh'!$O$2:$O$61),"")</f>
        <v/>
      </c>
    </row>
    <row r="16" customFormat="false" ht="15" hidden="false" customHeight="false" outlineLevel="0" collapsed="false">
      <c r="A16" s="5" t="s">
        <v>39</v>
      </c>
    </row>
    <row r="17" customFormat="false" ht="15" hidden="false" customHeight="false" outlineLevel="0" collapsed="false">
      <c r="A17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4" t="s">
        <v>41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0" t="s">
        <v>42</v>
      </c>
    </row>
    <row r="4" customFormat="false" ht="15" hidden="false" customHeight="false" outlineLevel="0" collapsed="false">
      <c r="A4" s="10" t="s">
        <v>43</v>
      </c>
    </row>
    <row r="5" customFormat="false" ht="15" hidden="false" customHeight="false" outlineLevel="0" collapsed="false">
      <c r="A5" s="10" t="s">
        <v>44</v>
      </c>
    </row>
    <row r="6" customFormat="false" ht="15" hidden="false" customHeight="false" outlineLevel="0" collapsed="false">
      <c r="A6" s="10" t="s">
        <v>45</v>
      </c>
    </row>
    <row r="7" customFormat="false" ht="15" hidden="false" customHeight="false" outlineLevel="0" collapsed="false">
      <c r="A7" s="10"/>
    </row>
    <row r="8" customFormat="false" ht="15" hidden="false" customHeight="false" outlineLevel="0" collapsed="false">
      <c r="A8" s="10" t="s">
        <v>46</v>
      </c>
    </row>
    <row r="9" customFormat="false" ht="15" hidden="false" customHeight="false" outlineLevel="0" collapsed="false">
      <c r="A9" s="10" t="s">
        <v>47</v>
      </c>
    </row>
    <row r="10" customFormat="false" ht="15" hidden="false" customHeight="false" outlineLevel="0" collapsed="false">
      <c r="A10" s="10"/>
    </row>
    <row r="11" customFormat="false" ht="15" hidden="false" customHeight="false" outlineLevel="0" collapsed="false">
      <c r="A11" s="10" t="s">
        <v>48</v>
      </c>
    </row>
    <row r="12" customFormat="false" ht="15" hidden="false" customHeight="false" outlineLevel="0" collapsed="false">
      <c r="A12" s="10" t="s">
        <v>49</v>
      </c>
    </row>
    <row r="13" customFormat="false" ht="15" hidden="false" customHeight="false" outlineLevel="0" collapsed="false">
      <c r="A13" s="10" t="s">
        <v>50</v>
      </c>
    </row>
    <row r="14" customFormat="false" ht="15" hidden="false" customHeight="false" outlineLevel="0" collapsed="false">
      <c r="A14" s="10" t="s">
        <v>51</v>
      </c>
    </row>
    <row r="15" customFormat="false" ht="15" hidden="false" customHeight="false" outlineLevel="0" collapsed="false">
      <c r="A15" s="10"/>
    </row>
    <row r="16" customFormat="false" ht="15" hidden="false" customHeight="false" outlineLevel="0" collapsed="false">
      <c r="A16" s="10" t="s">
        <v>52</v>
      </c>
    </row>
    <row r="17" customFormat="false" ht="15" hidden="false" customHeight="false" outlineLevel="0" collapsed="false">
      <c r="A17" s="10" t="s">
        <v>53</v>
      </c>
    </row>
    <row r="18" customFormat="false" ht="15" hidden="false" customHeight="false" outlineLevel="0" collapsed="false">
      <c r="A18" s="10"/>
    </row>
    <row r="19" customFormat="false" ht="15" hidden="false" customHeight="false" outlineLevel="0" collapsed="false">
      <c r="A19" s="10" t="s">
        <v>54</v>
      </c>
    </row>
    <row r="20" customFormat="false" ht="15" hidden="false" customHeight="false" outlineLevel="0" collapsed="false">
      <c r="A20" s="1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2026-07-04T02:56:37Z</dcterms:created>
  <dc:creator>openpyxl</dc:creator>
  <dc:description/>
  <dc:language>en-US</dc:language>
  <cp:lastModifiedBy/>
  <dcterms:modified xsi:type="dcterms:W3CDTF">2026-07-04T02:56:37Z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